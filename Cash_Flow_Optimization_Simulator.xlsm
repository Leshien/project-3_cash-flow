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Data" sheetId="1" state="visible" r:id="rId1"/>
    <sheet xmlns:r="http://schemas.openxmlformats.org/officeDocument/2006/relationships" name="Simulator" sheetId="2" state="visible" r:id="rId2"/>
    <sheet xmlns:r="http://schemas.openxmlformats.org/officeDocument/2006/relationships" name="Simulation Runs" sheetId="3" state="hidden" r:id="rId3"/>
    <sheet xmlns:r="http://schemas.openxmlformats.org/officeDocument/2006/relationships" name="Summary" sheetId="4" state="visible" r:id="rId4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2">
    <font>
      <name val="Calibri"/>
      <family val="2"/>
      <color theme="1"/>
      <sz val="11"/>
      <scheme val="minor"/>
    </font>
    <font>
      <b val="1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pivotButton="0" quotePrefix="0" xfId="0"/>
    <xf numFmtId="0" fontId="1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styles" Target="styles.xml" Id="rId5"/><Relationship Type="http://schemas.openxmlformats.org/officeDocument/2006/relationships/theme" Target="theme/theme1.xml" Id="rId6"/><Relationship Type="http://schemas.microsoft.com/office/2006/relationships/vbaProject" Target="vbaProject.bin" Id="rId7"/></Relationships>
</file>

<file path=xl/comments/comment1.xml><?xml version="1.0" encoding="utf-8"?>
<comments xmlns="http://schemas.openxmlformats.org/spreadsheetml/2006/main">
  <authors>
    <author>Assistant</author>
  </authors>
  <commentList>
    <comment ref="B5" authorId="0" shapeId="0">
      <text>
        <t>Applies a ±5 day random shock to Receivables, Inventory, and Payables Days.</t>
      </text>
    </comment>
    <comment ref="D5" authorId="0" shapeId="0">
      <text>
        <t>Enter your own values to override default Days assumptions and observe FCF impact.</t>
      </text>
    </comment>
    <comment ref="B6" authorId="0" shapeId="0">
      <text>
        <t>Resets the Days values to the original dataset (baseline).</t>
      </text>
    </comment>
    <comment ref="B7" authorId="0" shapeId="0">
      <text>
        <t>Runs 100 simulations with randomized shocks and stores the results in a hidden sheet.</t>
      </text>
    </comment>
  </commentList>
</comments>
</file>

<file path=xl/tables/table1.xml><?xml version="1.0" encoding="utf-8"?>
<table xmlns="http://schemas.openxmlformats.org/spreadsheetml/2006/main" id="1" name="CashFlowData" displayName="CashFlowData" ref="A1:M13" headerRowCount="1">
  <autoFilter ref="A1:M13"/>
  <tableColumns count="13">
    <tableColumn id="1" name="Month"/>
    <tableColumn id="2" name="Sales"/>
    <tableColumn id="3" name="COGS"/>
    <tableColumn id="4" name="Receivables Days"/>
    <tableColumn id="5" name="Inventory Days"/>
    <tableColumn id="6" name="Payables Days"/>
    <tableColumn id="7" name="Receivables"/>
    <tableColumn id="8" name="Inventory"/>
    <tableColumn id="9" name="Payables"/>
    <tableColumn id="10" name="Net Working Capital"/>
    <tableColumn id="11" name="EBITDA"/>
    <tableColumn id="12" name="CapEx"/>
    <tableColumn id="13" name="Free Cash Flow (approx.)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M13"/>
  <sheetViews>
    <sheetView workbookViewId="0">
      <selection activeCell="A1" sqref="A1"/>
    </sheetView>
  </sheetViews>
  <sheetFormatPr baseColWidth="8" defaultRowHeight="15"/>
  <sheetData>
    <row r="1">
      <c r="A1" t="inlineStr">
        <is>
          <t>Month</t>
        </is>
      </c>
      <c r="B1" t="inlineStr">
        <is>
          <t>Sales</t>
        </is>
      </c>
      <c r="C1" t="inlineStr">
        <is>
          <t>COGS</t>
        </is>
      </c>
      <c r="D1" t="inlineStr">
        <is>
          <t>Receivables Days</t>
        </is>
      </c>
      <c r="E1" t="inlineStr">
        <is>
          <t>Inventory Days</t>
        </is>
      </c>
      <c r="F1" t="inlineStr">
        <is>
          <t>Payables Days</t>
        </is>
      </c>
      <c r="G1" t="inlineStr">
        <is>
          <t>Receivables</t>
        </is>
      </c>
      <c r="H1" t="inlineStr">
        <is>
          <t>Inventory</t>
        </is>
      </c>
      <c r="I1" t="inlineStr">
        <is>
          <t>Payables</t>
        </is>
      </c>
      <c r="J1" t="inlineStr">
        <is>
          <t>Net Working Capital</t>
        </is>
      </c>
      <c r="K1" t="inlineStr">
        <is>
          <t>EBITDA</t>
        </is>
      </c>
      <c r="L1" t="inlineStr">
        <is>
          <t>CapEx</t>
        </is>
      </c>
      <c r="M1" t="inlineStr">
        <is>
          <t>Free Cash Flow (approx.)</t>
        </is>
      </c>
    </row>
    <row r="2">
      <c r="A2" t="inlineStr">
        <is>
          <t>Jan-2024</t>
        </is>
      </c>
      <c r="B2" t="n">
        <v>65795</v>
      </c>
      <c r="C2" t="n">
        <v>31685</v>
      </c>
      <c r="D2" t="n">
        <v>39</v>
      </c>
      <c r="E2" t="n">
        <v>39</v>
      </c>
      <c r="F2" t="n">
        <v>43</v>
      </c>
      <c r="G2" t="n">
        <v>85533.5</v>
      </c>
      <c r="H2" t="n">
        <v>41190.5</v>
      </c>
      <c r="I2" t="n">
        <v>45415.17</v>
      </c>
      <c r="J2" t="n">
        <v>81308.83</v>
      </c>
      <c r="K2" t="n">
        <v>34110</v>
      </c>
      <c r="L2" t="n">
        <v>6585</v>
      </c>
      <c r="M2" t="n">
        <v>21695.43</v>
      </c>
    </row>
    <row r="3">
      <c r="A3" t="inlineStr">
        <is>
          <t>Feb-2024</t>
        </is>
      </c>
      <c r="B3" t="n">
        <v>50860</v>
      </c>
      <c r="C3" t="n">
        <v>30769</v>
      </c>
      <c r="D3" t="n">
        <v>57</v>
      </c>
      <c r="E3" t="n">
        <v>44</v>
      </c>
      <c r="F3" t="n">
        <v>38</v>
      </c>
      <c r="G3" t="n">
        <v>96634</v>
      </c>
      <c r="H3" t="n">
        <v>45127.87</v>
      </c>
      <c r="I3" t="n">
        <v>38974.07</v>
      </c>
      <c r="J3" t="n">
        <v>102787.8</v>
      </c>
      <c r="K3" t="n">
        <v>20091</v>
      </c>
      <c r="L3" t="n">
        <v>8943</v>
      </c>
      <c r="M3" t="n">
        <v>-10330.97</v>
      </c>
    </row>
    <row r="4">
      <c r="A4" t="inlineStr">
        <is>
          <t>Mar-2024</t>
        </is>
      </c>
      <c r="B4" t="n">
        <v>88158</v>
      </c>
      <c r="C4" t="n">
        <v>32433</v>
      </c>
      <c r="D4" t="n">
        <v>57</v>
      </c>
      <c r="E4" t="n">
        <v>22</v>
      </c>
      <c r="F4" t="n">
        <v>55</v>
      </c>
      <c r="G4" t="n">
        <v>167500.2</v>
      </c>
      <c r="H4" t="n">
        <v>23784.2</v>
      </c>
      <c r="I4" t="n">
        <v>59460.5</v>
      </c>
      <c r="J4" t="n">
        <v>131823.9</v>
      </c>
      <c r="K4" t="n">
        <v>55725</v>
      </c>
      <c r="L4" t="n">
        <v>8073</v>
      </c>
      <c r="M4" t="n">
        <v>18615.9</v>
      </c>
    </row>
    <row r="5">
      <c r="A5" t="inlineStr">
        <is>
          <t>Apr-2024</t>
        </is>
      </c>
      <c r="B5" t="n">
        <v>94732</v>
      </c>
      <c r="C5" t="n">
        <v>35311</v>
      </c>
      <c r="D5" t="n">
        <v>45</v>
      </c>
      <c r="E5" t="n">
        <v>24</v>
      </c>
      <c r="F5" t="n">
        <v>31</v>
      </c>
      <c r="G5" t="n">
        <v>142098</v>
      </c>
      <c r="H5" t="n">
        <v>28248.8</v>
      </c>
      <c r="I5" t="n">
        <v>36488.03</v>
      </c>
      <c r="J5" t="n">
        <v>133858.77</v>
      </c>
      <c r="K5" t="n">
        <v>59421</v>
      </c>
      <c r="L5" t="n">
        <v>6021</v>
      </c>
      <c r="M5" t="n">
        <v>51365.13</v>
      </c>
    </row>
    <row r="6">
      <c r="A6" t="inlineStr">
        <is>
          <t>May-2024</t>
        </is>
      </c>
      <c r="B6" t="n">
        <v>61284</v>
      </c>
      <c r="C6" t="n">
        <v>67819</v>
      </c>
      <c r="D6" t="n">
        <v>44</v>
      </c>
      <c r="E6" t="n">
        <v>38</v>
      </c>
      <c r="F6" t="n">
        <v>49</v>
      </c>
      <c r="G6" t="n">
        <v>89883.2</v>
      </c>
      <c r="H6" t="n">
        <v>85904.07000000001</v>
      </c>
      <c r="I6" t="n">
        <v>110771.03</v>
      </c>
      <c r="J6" t="n">
        <v>65016.23</v>
      </c>
      <c r="K6" t="n">
        <v>-6535</v>
      </c>
      <c r="L6" t="n">
        <v>8461</v>
      </c>
      <c r="M6" t="n">
        <v>53846.53</v>
      </c>
    </row>
    <row r="7">
      <c r="A7" t="inlineStr">
        <is>
          <t>Jun-2024</t>
        </is>
      </c>
      <c r="B7" t="n">
        <v>56265</v>
      </c>
      <c r="C7" t="n">
        <v>69188</v>
      </c>
      <c r="D7" t="n">
        <v>59</v>
      </c>
      <c r="E7" t="n">
        <v>26</v>
      </c>
      <c r="F7" t="n">
        <v>57</v>
      </c>
      <c r="G7" t="n">
        <v>110654.5</v>
      </c>
      <c r="H7" t="n">
        <v>59962.93</v>
      </c>
      <c r="I7" t="n">
        <v>131457.2</v>
      </c>
      <c r="J7" t="n">
        <v>39160.23</v>
      </c>
      <c r="K7" t="n">
        <v>-12923</v>
      </c>
      <c r="L7" t="n">
        <v>7613</v>
      </c>
      <c r="M7" t="n">
        <v>5320</v>
      </c>
    </row>
    <row r="8">
      <c r="A8" t="inlineStr">
        <is>
          <t>Jul-2024</t>
        </is>
      </c>
      <c r="B8" t="n">
        <v>66850</v>
      </c>
      <c r="C8" t="n">
        <v>47568</v>
      </c>
      <c r="D8" t="n">
        <v>59</v>
      </c>
      <c r="E8" t="n">
        <v>40</v>
      </c>
      <c r="F8" t="n">
        <v>36</v>
      </c>
      <c r="G8" t="n">
        <v>131471.67</v>
      </c>
      <c r="H8" t="n">
        <v>63424</v>
      </c>
      <c r="I8" t="n">
        <v>57081.6</v>
      </c>
      <c r="J8" t="n">
        <v>137814.07</v>
      </c>
      <c r="K8" t="n">
        <v>19282</v>
      </c>
      <c r="L8" t="n">
        <v>8843</v>
      </c>
      <c r="M8" t="n">
        <v>-88214.83</v>
      </c>
    </row>
    <row r="9">
      <c r="A9" t="inlineStr">
        <is>
          <t>Aug-2024</t>
        </is>
      </c>
      <c r="B9" t="n">
        <v>87194</v>
      </c>
      <c r="C9" t="n">
        <v>49769</v>
      </c>
      <c r="D9" t="n">
        <v>44</v>
      </c>
      <c r="E9" t="n">
        <v>28</v>
      </c>
      <c r="F9" t="n">
        <v>37</v>
      </c>
      <c r="G9" t="n">
        <v>127884.53</v>
      </c>
      <c r="H9" t="n">
        <v>46451.07</v>
      </c>
      <c r="I9" t="n">
        <v>61381.77</v>
      </c>
      <c r="J9" t="n">
        <v>112953.83</v>
      </c>
      <c r="K9" t="n">
        <v>37425</v>
      </c>
      <c r="L9" t="n">
        <v>6500</v>
      </c>
      <c r="M9" t="n">
        <v>55785.23</v>
      </c>
    </row>
    <row r="10">
      <c r="A10" t="inlineStr">
        <is>
          <t>Sep-2024</t>
        </is>
      </c>
      <c r="B10" t="n">
        <v>71962</v>
      </c>
      <c r="C10" t="n">
        <v>58693</v>
      </c>
      <c r="D10" t="n">
        <v>59</v>
      </c>
      <c r="E10" t="n">
        <v>26</v>
      </c>
      <c r="F10" t="n">
        <v>64</v>
      </c>
      <c r="G10" t="n">
        <v>141525.27</v>
      </c>
      <c r="H10" t="n">
        <v>50867.27</v>
      </c>
      <c r="I10" t="n">
        <v>125211.73</v>
      </c>
      <c r="J10" t="n">
        <v>67180.8</v>
      </c>
      <c r="K10" t="n">
        <v>13269</v>
      </c>
      <c r="L10" t="n">
        <v>9798</v>
      </c>
      <c r="M10" t="n">
        <v>49244.03</v>
      </c>
    </row>
    <row r="11">
      <c r="A11" t="inlineStr">
        <is>
          <t>Oct-2024</t>
        </is>
      </c>
      <c r="B11" t="n">
        <v>97191</v>
      </c>
      <c r="C11" t="n">
        <v>36396</v>
      </c>
      <c r="D11" t="n">
        <v>48</v>
      </c>
      <c r="E11" t="n">
        <v>37</v>
      </c>
      <c r="F11" t="n">
        <v>43</v>
      </c>
      <c r="G11" t="n">
        <v>155505.6</v>
      </c>
      <c r="H11" t="n">
        <v>44888.4</v>
      </c>
      <c r="I11" t="n">
        <v>52167.6</v>
      </c>
      <c r="J11" t="n">
        <v>148226.4</v>
      </c>
      <c r="K11" t="n">
        <v>60795</v>
      </c>
      <c r="L11" t="n">
        <v>5161</v>
      </c>
      <c r="M11" t="n">
        <v>-25411.6</v>
      </c>
    </row>
    <row r="12">
      <c r="A12" t="inlineStr">
        <is>
          <t>Nov-2024</t>
        </is>
      </c>
      <c r="B12" t="n">
        <v>94131</v>
      </c>
      <c r="C12" t="n">
        <v>57480</v>
      </c>
      <c r="D12" t="n">
        <v>41</v>
      </c>
      <c r="E12" t="n">
        <v>23</v>
      </c>
      <c r="F12" t="n">
        <v>46</v>
      </c>
      <c r="G12" t="n">
        <v>128645.7</v>
      </c>
      <c r="H12" t="n">
        <v>44068</v>
      </c>
      <c r="I12" t="n">
        <v>88136</v>
      </c>
      <c r="J12" t="n">
        <v>84577.7</v>
      </c>
      <c r="K12" t="n">
        <v>36651</v>
      </c>
      <c r="L12" t="n">
        <v>9297</v>
      </c>
      <c r="M12" t="n">
        <v>91002.7</v>
      </c>
    </row>
    <row r="13">
      <c r="A13" t="inlineStr">
        <is>
          <t>Dec-2024</t>
        </is>
      </c>
      <c r="B13" t="n">
        <v>66023</v>
      </c>
      <c r="C13" t="n">
        <v>55658</v>
      </c>
      <c r="D13" t="n">
        <v>52</v>
      </c>
      <c r="E13" t="n">
        <v>44</v>
      </c>
      <c r="F13" t="n">
        <v>65</v>
      </c>
      <c r="G13" t="n">
        <v>114439.87</v>
      </c>
      <c r="H13" t="n">
        <v>81631.73</v>
      </c>
      <c r="I13" t="n">
        <v>120592.33</v>
      </c>
      <c r="J13" t="n">
        <v>75479.27</v>
      </c>
      <c r="K13" t="n">
        <v>10365</v>
      </c>
      <c r="L13" t="n">
        <v>6981</v>
      </c>
      <c r="M13" t="n">
        <v>12482.43</v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D8"/>
  <sheetViews>
    <sheetView workbookViewId="0">
      <selection activeCell="A1" sqref="A1"/>
    </sheetView>
  </sheetViews>
  <sheetFormatPr baseColWidth="8" defaultRowHeight="15"/>
  <sheetData>
    <row r="1">
      <c r="A1" s="1" t="inlineStr">
        <is>
          <t>Instructions:</t>
        </is>
      </c>
    </row>
    <row r="2">
      <c r="A2" t="inlineStr">
        <is>
          <t>Use macro buttons (when added) to randomly shift Receivables Days, Inventory Days, or Payables Days ±5 days</t>
        </is>
      </c>
    </row>
    <row r="3">
      <c r="A3" t="inlineStr">
        <is>
          <t>This simulates random economic or operational shocks affecting working capital timing.</t>
        </is>
      </c>
    </row>
    <row r="5">
      <c r="B5" t="inlineStr">
        <is>
          <t>▶ Apply Random Shock</t>
        </is>
      </c>
      <c r="D5" t="inlineStr">
        <is>
          <t>Manual Override</t>
        </is>
      </c>
    </row>
    <row r="6">
      <c r="B6" t="inlineStr">
        <is>
          <t>▶ Reset to Baseline</t>
        </is>
      </c>
      <c r="D6" t="inlineStr">
        <is>
          <t>Receivables Days</t>
        </is>
      </c>
    </row>
    <row r="7">
      <c r="B7" t="inlineStr">
        <is>
          <t>▶ Run 100 Simulations</t>
        </is>
      </c>
      <c r="D7" t="inlineStr">
        <is>
          <t>Inventory Days</t>
        </is>
      </c>
    </row>
    <row r="8">
      <c r="D8" t="inlineStr">
        <is>
          <t>Payables Days</t>
        </is>
      </c>
    </row>
  </sheetData>
  <pageMargins left="0.75" right="0.75" top="1" bottom="1" header="0.5" footer="0.5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E1"/>
  <sheetViews>
    <sheetView workbookViewId="0">
      <selection activeCell="A1" sqref="A1"/>
    </sheetView>
  </sheetViews>
  <sheetFormatPr baseColWidth="8" defaultRowHeight="15"/>
  <sheetData>
    <row r="1">
      <c r="A1" t="inlineStr">
        <is>
          <t>Run</t>
        </is>
      </c>
      <c r="B1" t="inlineStr">
        <is>
          <t>Receivables Days</t>
        </is>
      </c>
      <c r="C1" t="inlineStr">
        <is>
          <t>Inventory Days</t>
        </is>
      </c>
      <c r="D1" t="inlineStr">
        <is>
          <t>Payables Days</t>
        </is>
      </c>
      <c r="E1" t="inlineStr">
        <is>
          <t>Total FCF</t>
        </is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B7"/>
  <sheetViews>
    <sheetView workbookViewId="0">
      <selection activeCell="A1" sqref="A1"/>
    </sheetView>
  </sheetViews>
  <sheetFormatPr baseColWidth="8" defaultRowHeight="15"/>
  <sheetData>
    <row r="1">
      <c r="A1" t="inlineStr">
        <is>
          <t>📊 Free Cash Flow Simulation Summary</t>
        </is>
      </c>
    </row>
    <row r="3">
      <c r="A3" s="1" t="inlineStr">
        <is>
          <t>Metric</t>
        </is>
      </c>
      <c r="B3" s="1" t="inlineStr">
        <is>
          <t>Value</t>
        </is>
      </c>
    </row>
    <row r="4">
      <c r="A4" t="inlineStr">
        <is>
          <t>Average FCF</t>
        </is>
      </c>
      <c r="B4">
        <f>AVERAGE('Simulation Runs'!E2:E101)</f>
        <v/>
      </c>
    </row>
    <row r="5">
      <c r="A5" t="inlineStr">
        <is>
          <t>Max FCF</t>
        </is>
      </c>
      <c r="B5">
        <f>MAX('Simulation Runs'!E2:E101)</f>
        <v/>
      </c>
    </row>
    <row r="6">
      <c r="A6" t="inlineStr">
        <is>
          <t>Min FCF</t>
        </is>
      </c>
      <c r="B6">
        <f>MIN('Simulation Runs'!E2:E101)</f>
        <v/>
      </c>
    </row>
    <row r="7">
      <c r="A7" t="inlineStr">
        <is>
          <t>Standard Deviation</t>
        </is>
      </c>
      <c r="B7">
        <f>STDEV.P('Simulation Runs'!E2:E101)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2025-06-30T11:34:28Z</dcterms:created>
  <dcterms:modified xmlns:dcterms="http://purl.org/dc/terms/" xmlns:xsi="http://www.w3.org/2001/XMLSchema-instance" xsi:type="dcterms:W3CDTF">2025-06-30T11:34:28Z</dcterms:modified>
</cp:coreProperties>
</file>